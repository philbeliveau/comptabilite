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00" windowHeight="13800" tabRatio="600" firstSheet="0" activeTab="0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Notes Codex" sheetId="2" state="visible" r:id="rId2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_ * #,##0.00_)\ &quot;$&quot;_ ;_ * \(#,##0.00\)\ &quot;$&quot;_ ;_ * &quot;-&quot;??_)\ &quot;$&quot;_ ;_ @_ "/>
    <numFmt numFmtId="165" formatCode="#,##0.00 $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16">
    <xf numFmtId="0" fontId="0" fillId="0" borderId="0" pivotButton="0" quotePrefix="0" xfId="0"/>
    <xf numFmtId="164" fontId="0" fillId="0" borderId="0" pivotButton="0" quotePrefix="0" xfId="1"/>
    <xf numFmtId="164" fontId="0" fillId="0" borderId="0" applyAlignment="1" pivotButton="0" quotePrefix="0" xfId="1">
      <alignment horizontal="center" vertical="center" wrapText="1"/>
    </xf>
    <xf numFmtId="37" fontId="0" fillId="0" borderId="0" applyAlignment="1" pivotButton="0" quotePrefix="0" xfId="1">
      <alignment horizontal="center" vertical="center" wrapText="1"/>
    </xf>
    <xf numFmtId="37" fontId="0" fillId="0" borderId="0" pivotButton="0" quotePrefix="0" xfId="1"/>
    <xf numFmtId="37" fontId="0" fillId="0" borderId="0" applyAlignment="1" pivotButton="0" quotePrefix="0" xfId="1">
      <alignment horizontal="center"/>
    </xf>
    <xf numFmtId="164" fontId="0" fillId="2" borderId="0" pivotButton="0" quotePrefix="0" xfId="1"/>
    <xf numFmtId="164" fontId="0" fillId="0" borderId="0" pivotButton="0" quotePrefix="0" xfId="1"/>
    <xf numFmtId="164" fontId="0" fillId="0" borderId="0" pivotButton="0" quotePrefix="0" xfId="1"/>
    <xf numFmtId="164" fontId="0" fillId="0" borderId="0" applyAlignment="1" pivotButton="0" quotePrefix="0" xfId="1">
      <alignment horizontal="center" vertical="center" wrapText="1"/>
    </xf>
    <xf numFmtId="165" fontId="0" fillId="0" borderId="0" pivotButton="0" quotePrefix="0" xfId="1"/>
    <xf numFmtId="2" fontId="0" fillId="0" borderId="0" pivotButton="0" quotePrefix="0" xfId="1"/>
    <xf numFmtId="2" fontId="0" fillId="0" borderId="0" applyAlignment="1" pivotButton="0" quotePrefix="0" xfId="1">
      <alignment horizontal="center"/>
    </xf>
    <xf numFmtId="165" fontId="0" fillId="3" borderId="0" pivotButton="0" quotePrefix="0" xfId="1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Monétaire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G4" authorId="0" shapeId="0">
      <text>
        <t>Filled from corporate ledger Revenus:Consultation YTD to 2026-06-30. This is revenue/billings recognized, not payroll salary already processed.</t>
      </text>
    </comment>
    <comment ref="H4" authorId="0" shapeId="0">
      <text>
        <t>Estimated July-Dec recurring corporate expenses: home-office rent 355/month, internet/telecom about 32.78/month, Microsoft 2.30/month, bank fees 6/month. Does not include unknown CPA fees, income tax, GST/QST remittances, or owner personal spending.</t>
      </text>
    </comment>
    <comment ref="I4" authorId="0" shapeId="0">
      <text>
        <t>YTD corporate cash expenses/outflows: P&amp;L expenses 1,801.48 + MacBook capital purchase 2,750.00 + unresolved Depenses:Non-Classe 4,000.00. CPA must confirm treatment of unresolved items.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4"/>
  <sheetViews>
    <sheetView tabSelected="1" workbookViewId="0">
      <selection activeCell="N4" sqref="N4"/>
    </sheetView>
  </sheetViews>
  <sheetFormatPr baseColWidth="10" defaultRowHeight="15"/>
  <cols>
    <col width="1.85546875" customWidth="1" style="8" min="1" max="1"/>
    <col width="13.28515625" customWidth="1" style="8" min="2" max="2"/>
    <col width="15.85546875" customWidth="1" style="8" min="3" max="3"/>
    <col width="14.7109375" customWidth="1" style="8" min="4" max="4"/>
    <col width="11.42578125" customWidth="1" style="5" min="5" max="5"/>
    <col width="12" bestFit="1" customWidth="1" style="8" min="6" max="6"/>
    <col width="11.42578125" customWidth="1" style="8" min="7" max="9"/>
    <col width="1.28515625" customWidth="1" style="8" min="10" max="10"/>
    <col width="12" bestFit="1" customWidth="1" style="8" min="11" max="12"/>
    <col width="11.42578125" customWidth="1" style="4" min="13" max="13"/>
    <col width="12" bestFit="1" customWidth="1" style="8" min="14" max="14"/>
    <col width="11.42578125" customWidth="1" style="8" min="15" max="16384"/>
  </cols>
  <sheetData>
    <row r="1" ht="5.25" customHeight="1"/>
    <row r="2" ht="42" customFormat="1" customHeight="1" s="9">
      <c r="B2" s="9" t="inlineStr">
        <is>
          <t>Taux horaires</t>
        </is>
      </c>
      <c r="C2" s="9" t="inlineStr">
        <is>
          <t>Heures/semaine</t>
        </is>
      </c>
      <c r="D2" s="9" t="inlineStr">
        <is>
          <t>Montant hebdomadaire</t>
        </is>
      </c>
      <c r="E2" s="3" t="inlineStr">
        <is>
          <t>Semaines restantes</t>
        </is>
      </c>
      <c r="F2" s="9" t="inlineStr">
        <is>
          <t>Salaire juillet à décembre</t>
        </is>
      </c>
      <c r="G2" s="9" t="inlineStr">
        <is>
          <t>Salaire à date</t>
        </is>
      </c>
      <c r="H2" s="9" t="inlineStr">
        <is>
          <t>Dépenses à venir</t>
        </is>
      </c>
      <c r="I2" s="9" t="inlineStr">
        <is>
          <t>Dépenses à date</t>
        </is>
      </c>
      <c r="K2" s="9" t="inlineStr">
        <is>
          <t>REER Passé</t>
        </is>
      </c>
      <c r="L2" s="3" t="inlineStr">
        <is>
          <t>REER Max 2026                   $</t>
        </is>
      </c>
      <c r="M2" s="3" t="inlineStr">
        <is>
          <t>REER Max 2026                   %</t>
        </is>
      </c>
    </row>
    <row r="4">
      <c r="B4" s="10" t="n">
        <v>110</v>
      </c>
      <c r="C4" s="11" t="n">
        <v>35</v>
      </c>
      <c r="D4" s="10">
        <f>B4*C4</f>
        <v/>
      </c>
      <c r="E4" s="12">
        <f>6*4.3</f>
        <v/>
      </c>
      <c r="F4" s="10">
        <f>E4*D4</f>
        <v/>
      </c>
      <c r="G4" s="13" t="n">
        <v>41205.11</v>
      </c>
      <c r="H4" s="13" t="n">
        <v>2376.48</v>
      </c>
      <c r="I4" s="13" t="n">
        <v>8551.48</v>
      </c>
      <c r="J4" s="8" t="n"/>
      <c r="K4" s="10" t="n">
        <v>23388</v>
      </c>
      <c r="L4" s="10" t="n">
        <v>33810</v>
      </c>
      <c r="M4" s="12" t="n">
        <v>18</v>
      </c>
      <c r="N4" s="10">
        <f>0.18*(F4+G4-H4-I4)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90" customWidth="1" min="3" max="3"/>
  </cols>
  <sheetData>
    <row r="1" ht="45" customHeight="1">
      <c r="A1" s="14" t="inlineStr">
        <is>
          <t>Purpose</t>
        </is>
      </c>
      <c r="B1" s="14" t="inlineStr">
        <is>
          <t>Fill yellow planning inputs requested in Salaire Philippe.xlsx. This is not payroll processing or tax advice. CPA must confirm.</t>
        </is>
      </c>
    </row>
    <row r="2" ht="45" customHeight="1">
      <c r="A2" s="14" t="inlineStr">
        <is>
          <t>Ledger validation</t>
        </is>
      </c>
      <c r="B2" s="15" t="inlineStr">
        <is>
          <t>uv run bean-check ledger/main.beancount passed before these values were entered.</t>
        </is>
      </c>
    </row>
    <row r="3" ht="45" customHeight="1">
      <c r="A3" s="14" t="inlineStr">
        <is>
          <t>Period used</t>
        </is>
      </c>
      <c r="B3" s="15" t="inlineStr">
        <is>
          <t>2026 YTD through 2026-06-30, matching currently posted corporate ledger entries.</t>
        </is>
      </c>
    </row>
    <row r="4" ht="45" customHeight="1">
      <c r="A4" s="14" t="inlineStr">
        <is>
          <t>G4 Salaire a date</t>
        </is>
      </c>
      <c r="B4" s="15" t="n">
        <v>41205.11</v>
      </c>
      <c r="C4" s="15" t="inlineStr">
        <is>
          <t>From Revenus:Consultation YTD. Better interpreted as corporate revenue earned to date, not actual T4 salary. No payroll salary entries were found in the ledger.</t>
        </is>
      </c>
    </row>
    <row r="5" ht="45" customHeight="1">
      <c r="A5" s="14" t="inlineStr">
        <is>
          <t>H4 Depenses a venir</t>
        </is>
      </c>
      <c r="B5" s="15" t="n">
        <v>2376.48</v>
      </c>
      <c r="C5" s="15" t="inlineStr">
        <is>
          <t>Estimate for July-Dec recurring corporate expenses only: rent 2,130.00 + internet/telecom 196.68 + Microsoft 13.80 + bank fees 36.00. Excludes CPA fees, income tax, GST/QST remittances, and personal spending.</t>
        </is>
      </c>
    </row>
    <row r="6" ht="45" customHeight="1">
      <c r="A6" s="14" t="inlineStr">
        <is>
          <t>I4 Depenses a date</t>
        </is>
      </c>
      <c r="B6" s="15" t="n">
        <v>8551.48</v>
      </c>
      <c r="C6" s="15" t="inlineStr">
        <is>
          <t>Includes posted P&amp;L expenses 1,801.48, MacBook capital purchase 2,750.00, and unresolved non-classified corporate outflows 4,000.00. If CPA excludes the unresolved items or treats the MacBook differently, update this cell.</t>
        </is>
      </c>
    </row>
    <row r="7" ht="45" customHeight="1">
      <c r="A7" s="14" t="inlineStr">
        <is>
          <t>Projected July-Dec billings in F4</t>
        </is>
      </c>
      <c r="B7" s="15" t="n">
        <v>99330</v>
      </c>
      <c r="C7" s="15" t="inlineStr">
        <is>
          <t>Existing workbook formula: 110 hourly rate * 35 hours/week * 25.8 weeks.</t>
        </is>
      </c>
    </row>
    <row r="8" ht="45" customHeight="1">
      <c r="A8" s="14" t="inlineStr">
        <is>
          <t>Planning base implied by workbook</t>
        </is>
      </c>
      <c r="B8" s="15">
        <f>F4+G4-H4-I4</f>
        <v/>
      </c>
      <c r="C8" s="15" t="inlineStr">
        <is>
          <t>Using filled values, this equals 129,607.15 before personal payroll deductions and employer payroll costs.</t>
        </is>
      </c>
    </row>
    <row r="9" ht="45" customHeight="1">
      <c r="A9" s="14" t="inlineStr">
        <is>
          <t>N4 RRSP estimate</t>
        </is>
      </c>
      <c r="B9" s="15">
        <f>0.18*(F4+G4-H4-I4)</f>
        <v/>
      </c>
      <c r="C9" s="15" t="inlineStr">
        <is>
          <t>Using filled values, this equals 23,329.29 before considering detailed RRSP carry-forward rules and the annual cap.</t>
        </is>
      </c>
    </row>
    <row r="10" ht="45" customHeight="1">
      <c r="A10" s="14" t="inlineStr">
        <is>
          <t>Important caveat</t>
        </is>
      </c>
      <c r="B10" s="15" t="inlineStr">
        <is>
          <t>For an incorporated owner, RRSP room is created by salary/employment income, not by dividends. Corporate revenue does not automatically equal salary. CPA must decide salary/dividend/shareholder-loan treatment and payroll registration/remittances.</t>
        </is>
      </c>
    </row>
    <row r="11" ht="45" customHeight="1">
      <c r="A11" s="14" t="inlineStr">
        <is>
          <t>Source files</t>
        </is>
      </c>
      <c r="B11" s="15" t="inlineStr">
        <is>
          <t>ledger/main.beancount; docs/personal-salary-scenarios-2026.md; data/personal-spending/personal-spending-summary-2026.md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Stéphane BELIVEAU</dc:creator>
  <dcterms:created xmlns:dcterms="http://purl.org/dc/terms/" xmlns:xsi="http://www.w3.org/2001/XMLSchema-instance" xsi:type="dcterms:W3CDTF">2026-06-30T01:17:14Z</dcterms:created>
  <dcterms:modified xmlns:dcterms="http://purl.org/dc/terms/" xmlns:xsi="http://www.w3.org/2001/XMLSchema-instance" xsi:type="dcterms:W3CDTF">2026-07-13T22:18:50Z</dcterms:modified>
  <cp:lastModifiedBy>Stéphane BELIVEAU</cp:lastModifiedBy>
</cp:coreProperties>
</file>